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Resumen_Financiero" sheetId="2" state="visible" r:id="rId2"/>
    <sheet xmlns:r="http://schemas.openxmlformats.org/officeDocument/2006/relationships" name="Analisis_Equip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Rentabilidad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'Resumen_Financiero'!$A$6:$A$7</f>
            </numRef>
          </cat>
          <val>
            <numRef>
              <f>'Resumen_Financiero'!$B$6:$B$7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Equipos Más Vendidos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'Analisis_Equipos'!B1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'Analisis_Equipos'!$A$2:$A$11</f>
            </numRef>
          </cat>
          <val>
            <numRef>
              <f>'Analisis_Equipos'!$B$2:$B$11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Equipos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18" customWidth="1" min="4" max="4"/>
    <col width="10" customWidth="1" min="5" max="5"/>
    <col width="21" customWidth="1" min="6" max="6"/>
    <col width="17" customWidth="1" min="7" max="7"/>
    <col width="16" customWidth="1" min="8" max="8"/>
    <col width="18" customWidth="1" min="9" max="9"/>
    <col width="16" customWidth="1" min="10" max="10"/>
    <col width="13" customWidth="1" min="11" max="11"/>
  </cols>
  <sheetData>
    <row r="1">
      <c r="A1" s="1" t="inlineStr">
        <is>
          <t>ID_Venta</t>
        </is>
      </c>
      <c r="B1" s="1" t="inlineStr">
        <is>
          <t>Cliente</t>
        </is>
      </c>
      <c r="C1" s="1" t="inlineStr">
        <is>
          <t>Tipo_Equipo</t>
        </is>
      </c>
      <c r="D1" s="1" t="inlineStr">
        <is>
          <t>Precio_Equipo</t>
        </is>
      </c>
      <c r="E1" s="1" t="inlineStr">
        <is>
          <t>Prima</t>
        </is>
      </c>
      <c r="F1" s="1" t="inlineStr">
        <is>
          <t>Monto_Financiado</t>
        </is>
      </c>
      <c r="G1" s="1" t="inlineStr">
        <is>
          <t>Tasa_Interes</t>
        </is>
      </c>
      <c r="H1" s="1" t="inlineStr">
        <is>
          <t>Plazo_Meses</t>
        </is>
      </c>
      <c r="I1" s="1" t="inlineStr">
        <is>
          <t>Cuota_Mensual</t>
        </is>
      </c>
      <c r="J1" s="1" t="inlineStr">
        <is>
          <t>Estado_Pago</t>
        </is>
      </c>
      <c r="K1" s="1" t="inlineStr">
        <is>
          <t>Ganancia</t>
        </is>
      </c>
    </row>
    <row r="2">
      <c r="A2" t="inlineStr">
        <is>
          <t>V001</t>
        </is>
      </c>
      <c r="B2" t="inlineStr">
        <is>
          <t>José Ramírez</t>
        </is>
      </c>
      <c r="C2" t="inlineStr">
        <is>
          <t>PC Gamer</t>
        </is>
      </c>
      <c r="D2" t="n">
        <v>2792</v>
      </c>
      <c r="E2" t="n">
        <v>737</v>
      </c>
      <c r="F2" t="n">
        <v>2055</v>
      </c>
      <c r="G2" t="n">
        <v>0.15</v>
      </c>
      <c r="H2" t="n">
        <v>18</v>
      </c>
      <c r="I2" t="n">
        <v>128.2</v>
      </c>
      <c r="J2" t="inlineStr">
        <is>
          <t>No rentable</t>
        </is>
      </c>
      <c r="K2" t="n">
        <v>252.6</v>
      </c>
    </row>
    <row r="3">
      <c r="A3" t="inlineStr">
        <is>
          <t>V002</t>
        </is>
      </c>
      <c r="B3" t="inlineStr">
        <is>
          <t>Valeria Cruz</t>
        </is>
      </c>
      <c r="C3" t="inlineStr">
        <is>
          <t>Tablet</t>
        </is>
      </c>
      <c r="D3" t="n">
        <v>1972</v>
      </c>
      <c r="E3" t="n">
        <v>593</v>
      </c>
      <c r="F3" t="n">
        <v>1379</v>
      </c>
      <c r="G3" t="n">
        <v>0.16</v>
      </c>
      <c r="H3" t="n">
        <v>12</v>
      </c>
      <c r="I3" t="n">
        <v>125.12</v>
      </c>
      <c r="J3" t="inlineStr">
        <is>
          <t>No rentable</t>
        </is>
      </c>
      <c r="K3" t="n">
        <v>122.44</v>
      </c>
    </row>
    <row r="4">
      <c r="A4" t="inlineStr">
        <is>
          <t>V003</t>
        </is>
      </c>
      <c r="B4" t="inlineStr">
        <is>
          <t>Miguel Flores</t>
        </is>
      </c>
      <c r="C4" t="inlineStr">
        <is>
          <t>Router</t>
        </is>
      </c>
      <c r="D4" t="n">
        <v>3690</v>
      </c>
      <c r="E4" t="n">
        <v>480</v>
      </c>
      <c r="F4" t="n">
        <v>3210</v>
      </c>
      <c r="G4" t="n">
        <v>0.14</v>
      </c>
      <c r="H4" t="n">
        <v>18</v>
      </c>
      <c r="I4" t="n">
        <v>198.75</v>
      </c>
      <c r="J4" t="inlineStr">
        <is>
          <t>No rentable</t>
        </is>
      </c>
      <c r="K4" t="n">
        <v>367.5</v>
      </c>
    </row>
    <row r="5">
      <c r="A5" t="inlineStr">
        <is>
          <t>V004</t>
        </is>
      </c>
      <c r="B5" t="inlineStr">
        <is>
          <t>Sofía Torres</t>
        </is>
      </c>
      <c r="C5" t="inlineStr">
        <is>
          <t>Monitor</t>
        </is>
      </c>
      <c r="D5" t="n">
        <v>4892</v>
      </c>
      <c r="E5" t="n">
        <v>969</v>
      </c>
      <c r="F5" t="n">
        <v>3923</v>
      </c>
      <c r="G5" t="n">
        <v>0.13</v>
      </c>
      <c r="H5" t="n">
        <v>36</v>
      </c>
      <c r="I5" t="n">
        <v>132.18</v>
      </c>
      <c r="J5" t="inlineStr">
        <is>
          <t>Rentable</t>
        </is>
      </c>
      <c r="K5" t="n">
        <v>835.48</v>
      </c>
    </row>
    <row r="6">
      <c r="A6" t="inlineStr">
        <is>
          <t>V005</t>
        </is>
      </c>
      <c r="B6" t="inlineStr">
        <is>
          <t>Kevin Aguilar</t>
        </is>
      </c>
      <c r="C6" t="inlineStr">
        <is>
          <t>Switch</t>
        </is>
      </c>
      <c r="D6" t="n">
        <v>4945</v>
      </c>
      <c r="E6" t="n">
        <v>236</v>
      </c>
      <c r="F6" t="n">
        <v>4709</v>
      </c>
      <c r="G6" t="n">
        <v>0.12</v>
      </c>
      <c r="H6" t="n">
        <v>24</v>
      </c>
      <c r="I6" t="n">
        <v>221.67</v>
      </c>
      <c r="J6" t="inlineStr">
        <is>
          <t>Rentable</t>
        </is>
      </c>
      <c r="K6" t="n">
        <v>611.08</v>
      </c>
    </row>
    <row r="7">
      <c r="A7" t="inlineStr">
        <is>
          <t>V006</t>
        </is>
      </c>
      <c r="B7" t="inlineStr">
        <is>
          <t>Paola Rivera</t>
        </is>
      </c>
      <c r="C7" t="inlineStr">
        <is>
          <t>PC Gamer</t>
        </is>
      </c>
      <c r="D7" t="n">
        <v>1597</v>
      </c>
      <c r="E7" t="n">
        <v>182</v>
      </c>
      <c r="F7" t="n">
        <v>1415</v>
      </c>
      <c r="G7" t="n">
        <v>0.13</v>
      </c>
      <c r="H7" t="n">
        <v>36</v>
      </c>
      <c r="I7" t="n">
        <v>47.68</v>
      </c>
      <c r="J7" t="inlineStr">
        <is>
          <t>No rentable</t>
        </is>
      </c>
      <c r="K7" t="n">
        <v>301.48</v>
      </c>
    </row>
    <row r="8">
      <c r="A8" t="inlineStr">
        <is>
          <t>V007</t>
        </is>
      </c>
      <c r="B8" t="inlineStr">
        <is>
          <t>Fernanda Ruiz</t>
        </is>
      </c>
      <c r="C8" t="inlineStr">
        <is>
          <t>Proyector</t>
        </is>
      </c>
      <c r="D8" t="n">
        <v>1518</v>
      </c>
      <c r="E8" t="n">
        <v>603</v>
      </c>
      <c r="F8" t="n">
        <v>915</v>
      </c>
      <c r="G8" t="n">
        <v>0.16</v>
      </c>
      <c r="H8" t="n">
        <v>12</v>
      </c>
      <c r="I8" t="n">
        <v>83.02</v>
      </c>
      <c r="J8" t="inlineStr">
        <is>
          <t>No rentable</t>
        </is>
      </c>
      <c r="K8" t="n">
        <v>81.23999999999999</v>
      </c>
    </row>
    <row r="9">
      <c r="A9" t="inlineStr">
        <is>
          <t>V008</t>
        </is>
      </c>
      <c r="B9" t="inlineStr">
        <is>
          <t>Javier Mendoza</t>
        </is>
      </c>
      <c r="C9" t="inlineStr">
        <is>
          <t>Switch</t>
        </is>
      </c>
      <c r="D9" t="n">
        <v>563</v>
      </c>
      <c r="E9" t="n">
        <v>424</v>
      </c>
      <c r="F9" t="n">
        <v>139</v>
      </c>
      <c r="G9" t="n">
        <v>0.14</v>
      </c>
      <c r="H9" t="n">
        <v>24</v>
      </c>
      <c r="I9" t="n">
        <v>6.67</v>
      </c>
      <c r="J9" t="inlineStr">
        <is>
          <t>No rentable</t>
        </is>
      </c>
      <c r="K9" t="n">
        <v>21.08</v>
      </c>
    </row>
    <row r="10">
      <c r="A10" t="inlineStr">
        <is>
          <t>V009</t>
        </is>
      </c>
      <c r="B10" t="inlineStr">
        <is>
          <t>José Ramírez</t>
        </is>
      </c>
      <c r="C10" t="inlineStr">
        <is>
          <t>Scanner</t>
        </is>
      </c>
      <c r="D10" t="n">
        <v>3848</v>
      </c>
      <c r="E10" t="n">
        <v>642</v>
      </c>
      <c r="F10" t="n">
        <v>3206</v>
      </c>
      <c r="G10" t="n">
        <v>0.17</v>
      </c>
      <c r="H10" t="n">
        <v>18</v>
      </c>
      <c r="I10" t="n">
        <v>203.04</v>
      </c>
      <c r="J10" t="inlineStr">
        <is>
          <t>No rentable</t>
        </is>
      </c>
      <c r="K10" t="n">
        <v>448.72</v>
      </c>
    </row>
    <row r="11">
      <c r="A11" t="inlineStr">
        <is>
          <t>V010</t>
        </is>
      </c>
      <c r="B11" t="inlineStr">
        <is>
          <t>Javier Mendoza</t>
        </is>
      </c>
      <c r="C11" t="inlineStr">
        <is>
          <t>Switch</t>
        </is>
      </c>
      <c r="D11" t="n">
        <v>1930</v>
      </c>
      <c r="E11" t="n">
        <v>723</v>
      </c>
      <c r="F11" t="n">
        <v>1207</v>
      </c>
      <c r="G11" t="n">
        <v>0.12</v>
      </c>
      <c r="H11" t="n">
        <v>36</v>
      </c>
      <c r="I11" t="n">
        <v>40.09</v>
      </c>
      <c r="J11" t="inlineStr">
        <is>
          <t>No rentable</t>
        </is>
      </c>
      <c r="K11" t="n">
        <v>236.24</v>
      </c>
    </row>
    <row r="12">
      <c r="A12" t="inlineStr">
        <is>
          <t>V011</t>
        </is>
      </c>
      <c r="B12" t="inlineStr">
        <is>
          <t>Ana Martínez</t>
        </is>
      </c>
      <c r="C12" t="inlineStr">
        <is>
          <t>Switch</t>
        </is>
      </c>
      <c r="D12" t="n">
        <v>4231</v>
      </c>
      <c r="E12" t="n">
        <v>987</v>
      </c>
      <c r="F12" t="n">
        <v>3244</v>
      </c>
      <c r="G12" t="n">
        <v>0.18</v>
      </c>
      <c r="H12" t="n">
        <v>24</v>
      </c>
      <c r="I12" t="n">
        <v>161.95</v>
      </c>
      <c r="J12" t="inlineStr">
        <is>
          <t>Rentable</t>
        </is>
      </c>
      <c r="K12" t="n">
        <v>642.8</v>
      </c>
    </row>
    <row r="13">
      <c r="A13" t="inlineStr">
        <is>
          <t>V012</t>
        </is>
      </c>
      <c r="B13" t="inlineStr">
        <is>
          <t>Andrea Gómez</t>
        </is>
      </c>
      <c r="C13" t="inlineStr">
        <is>
          <t>Tablet</t>
        </is>
      </c>
      <c r="D13" t="n">
        <v>2835</v>
      </c>
      <c r="E13" t="n">
        <v>904</v>
      </c>
      <c r="F13" t="n">
        <v>1931</v>
      </c>
      <c r="G13" t="n">
        <v>0.1</v>
      </c>
      <c r="H13" t="n">
        <v>36</v>
      </c>
      <c r="I13" t="n">
        <v>62.31</v>
      </c>
      <c r="J13" t="inlineStr">
        <is>
          <t>No rentable</t>
        </is>
      </c>
      <c r="K13" t="n">
        <v>312.16</v>
      </c>
    </row>
    <row r="14">
      <c r="A14" t="inlineStr">
        <is>
          <t>V013</t>
        </is>
      </c>
      <c r="B14" t="inlineStr">
        <is>
          <t>Javier Mendoza</t>
        </is>
      </c>
      <c r="C14" t="inlineStr">
        <is>
          <t>Impresora</t>
        </is>
      </c>
      <c r="D14" t="n">
        <v>751</v>
      </c>
      <c r="E14" t="n">
        <v>395</v>
      </c>
      <c r="F14" t="n">
        <v>356</v>
      </c>
      <c r="G14" t="n">
        <v>0.17</v>
      </c>
      <c r="H14" t="n">
        <v>36</v>
      </c>
      <c r="I14" t="n">
        <v>12.69</v>
      </c>
      <c r="J14" t="inlineStr">
        <is>
          <t>No rentable</t>
        </is>
      </c>
      <c r="K14" t="n">
        <v>100.84</v>
      </c>
    </row>
    <row r="15">
      <c r="A15" t="inlineStr">
        <is>
          <t>V014</t>
        </is>
      </c>
      <c r="B15" t="inlineStr">
        <is>
          <t>Miguel Flores</t>
        </is>
      </c>
      <c r="C15" t="inlineStr">
        <is>
          <t>Impresora</t>
        </is>
      </c>
      <c r="D15" t="n">
        <v>1609</v>
      </c>
      <c r="E15" t="n">
        <v>408</v>
      </c>
      <c r="F15" t="n">
        <v>1201</v>
      </c>
      <c r="G15" t="n">
        <v>0.17</v>
      </c>
      <c r="H15" t="n">
        <v>18</v>
      </c>
      <c r="I15" t="n">
        <v>76.06</v>
      </c>
      <c r="J15" t="inlineStr">
        <is>
          <t>No rentable</t>
        </is>
      </c>
      <c r="K15" t="n">
        <v>168.08</v>
      </c>
    </row>
    <row r="16">
      <c r="A16" t="inlineStr">
        <is>
          <t>V015</t>
        </is>
      </c>
      <c r="B16" t="inlineStr">
        <is>
          <t>Andrea Gómez</t>
        </is>
      </c>
      <c r="C16" t="inlineStr">
        <is>
          <t>Monitor</t>
        </is>
      </c>
      <c r="D16" t="n">
        <v>2067</v>
      </c>
      <c r="E16" t="n">
        <v>366</v>
      </c>
      <c r="F16" t="n">
        <v>1701</v>
      </c>
      <c r="G16" t="n">
        <v>0.16</v>
      </c>
      <c r="H16" t="n">
        <v>36</v>
      </c>
      <c r="I16" t="n">
        <v>59.8</v>
      </c>
      <c r="J16" t="inlineStr">
        <is>
          <t>No rentable</t>
        </is>
      </c>
      <c r="K16" t="n">
        <v>451.8</v>
      </c>
    </row>
    <row r="17">
      <c r="A17" t="inlineStr">
        <is>
          <t>V016</t>
        </is>
      </c>
      <c r="B17" t="inlineStr">
        <is>
          <t>Paola Rivera</t>
        </is>
      </c>
      <c r="C17" t="inlineStr">
        <is>
          <t>Tablet</t>
        </is>
      </c>
      <c r="D17" t="n">
        <v>2436</v>
      </c>
      <c r="E17" t="n">
        <v>411</v>
      </c>
      <c r="F17" t="n">
        <v>2025</v>
      </c>
      <c r="G17" t="n">
        <v>0.12</v>
      </c>
      <c r="H17" t="n">
        <v>36</v>
      </c>
      <c r="I17" t="n">
        <v>67.26000000000001</v>
      </c>
      <c r="J17" t="inlineStr">
        <is>
          <t>No rentable</t>
        </is>
      </c>
      <c r="K17" t="n">
        <v>396.36</v>
      </c>
    </row>
    <row r="18">
      <c r="A18" t="inlineStr">
        <is>
          <t>V017</t>
        </is>
      </c>
      <c r="B18" t="inlineStr">
        <is>
          <t>Kevin Aguilar</t>
        </is>
      </c>
      <c r="C18" t="inlineStr">
        <is>
          <t>Monitor</t>
        </is>
      </c>
      <c r="D18" t="n">
        <v>4236</v>
      </c>
      <c r="E18" t="n">
        <v>189</v>
      </c>
      <c r="F18" t="n">
        <v>4047</v>
      </c>
      <c r="G18" t="n">
        <v>0.15</v>
      </c>
      <c r="H18" t="n">
        <v>18</v>
      </c>
      <c r="I18" t="n">
        <v>252.47</v>
      </c>
      <c r="J18" t="inlineStr">
        <is>
          <t>No rentable</t>
        </is>
      </c>
      <c r="K18" t="n">
        <v>497.46</v>
      </c>
    </row>
    <row r="19">
      <c r="A19" t="inlineStr">
        <is>
          <t>V018</t>
        </is>
      </c>
      <c r="B19" t="inlineStr">
        <is>
          <t>Fernanda Ruiz</t>
        </is>
      </c>
      <c r="C19" t="inlineStr">
        <is>
          <t>PC Gamer</t>
        </is>
      </c>
      <c r="D19" t="n">
        <v>1283</v>
      </c>
      <c r="E19" t="n">
        <v>180</v>
      </c>
      <c r="F19" t="n">
        <v>1103</v>
      </c>
      <c r="G19" t="n">
        <v>0.09</v>
      </c>
      <c r="H19" t="n">
        <v>36</v>
      </c>
      <c r="I19" t="n">
        <v>35.08</v>
      </c>
      <c r="J19" t="inlineStr">
        <is>
          <t>No rentable</t>
        </is>
      </c>
      <c r="K19" t="n">
        <v>159.88</v>
      </c>
    </row>
    <row r="20">
      <c r="A20" t="inlineStr">
        <is>
          <t>V019</t>
        </is>
      </c>
      <c r="B20" t="inlineStr">
        <is>
          <t>Ricardo Morales</t>
        </is>
      </c>
      <c r="C20" t="inlineStr">
        <is>
          <t>Impresora</t>
        </is>
      </c>
      <c r="D20" t="n">
        <v>2909</v>
      </c>
      <c r="E20" t="n">
        <v>268</v>
      </c>
      <c r="F20" t="n">
        <v>2641</v>
      </c>
      <c r="G20" t="n">
        <v>0.14</v>
      </c>
      <c r="H20" t="n">
        <v>18</v>
      </c>
      <c r="I20" t="n">
        <v>163.52</v>
      </c>
      <c r="J20" t="inlineStr">
        <is>
          <t>No rentable</t>
        </is>
      </c>
      <c r="K20" t="n">
        <v>302.36</v>
      </c>
    </row>
    <row r="21">
      <c r="A21" t="inlineStr">
        <is>
          <t>V020</t>
        </is>
      </c>
      <c r="B21" t="inlineStr">
        <is>
          <t>Carlos Pérez</t>
        </is>
      </c>
      <c r="C21" t="inlineStr">
        <is>
          <t>Router</t>
        </is>
      </c>
      <c r="D21" t="n">
        <v>1078</v>
      </c>
      <c r="E21" t="n">
        <v>779</v>
      </c>
      <c r="F21" t="n">
        <v>299</v>
      </c>
      <c r="G21" t="n">
        <v>0.14</v>
      </c>
      <c r="H21" t="n">
        <v>36</v>
      </c>
      <c r="I21" t="n">
        <v>10.22</v>
      </c>
      <c r="J21" t="inlineStr">
        <is>
          <t>No rentable</t>
        </is>
      </c>
      <c r="K21" t="n">
        <v>68.92</v>
      </c>
    </row>
    <row r="22">
      <c r="A22" t="inlineStr">
        <is>
          <t>V021</t>
        </is>
      </c>
      <c r="B22" t="inlineStr">
        <is>
          <t>José Ramírez</t>
        </is>
      </c>
      <c r="C22" t="inlineStr">
        <is>
          <t>Servidor</t>
        </is>
      </c>
      <c r="D22" t="n">
        <v>3422</v>
      </c>
      <c r="E22" t="n">
        <v>859</v>
      </c>
      <c r="F22" t="n">
        <v>2563</v>
      </c>
      <c r="G22" t="n">
        <v>0.12</v>
      </c>
      <c r="H22" t="n">
        <v>36</v>
      </c>
      <c r="I22" t="n">
        <v>85.13</v>
      </c>
      <c r="J22" t="inlineStr">
        <is>
          <t>Rentable</t>
        </is>
      </c>
      <c r="K22" t="n">
        <v>501.68</v>
      </c>
    </row>
    <row r="23">
      <c r="A23" t="inlineStr">
        <is>
          <t>V022</t>
        </is>
      </c>
      <c r="B23" t="inlineStr">
        <is>
          <t>Ricardo Morales</t>
        </is>
      </c>
      <c r="C23" t="inlineStr">
        <is>
          <t>Impresora</t>
        </is>
      </c>
      <c r="D23" t="n">
        <v>970</v>
      </c>
      <c r="E23" t="n">
        <v>168</v>
      </c>
      <c r="F23" t="n">
        <v>802</v>
      </c>
      <c r="G23" t="n">
        <v>0.09</v>
      </c>
      <c r="H23" t="n">
        <v>24</v>
      </c>
      <c r="I23" t="n">
        <v>36.64</v>
      </c>
      <c r="J23" t="inlineStr">
        <is>
          <t>No rentable</t>
        </is>
      </c>
      <c r="K23" t="n">
        <v>77.36</v>
      </c>
    </row>
    <row r="24">
      <c r="A24" t="inlineStr">
        <is>
          <t>V023</t>
        </is>
      </c>
      <c r="B24" t="inlineStr">
        <is>
          <t>Ricardo Morales</t>
        </is>
      </c>
      <c r="C24" t="inlineStr">
        <is>
          <t>Monitor</t>
        </is>
      </c>
      <c r="D24" t="n">
        <v>1185</v>
      </c>
      <c r="E24" t="n">
        <v>860</v>
      </c>
      <c r="F24" t="n">
        <v>325</v>
      </c>
      <c r="G24" t="n">
        <v>0.08</v>
      </c>
      <c r="H24" t="n">
        <v>18</v>
      </c>
      <c r="I24" t="n">
        <v>19.22</v>
      </c>
      <c r="J24" t="inlineStr">
        <is>
          <t>No rentable</t>
        </is>
      </c>
      <c r="K24" t="n">
        <v>20.96</v>
      </c>
    </row>
    <row r="25">
      <c r="A25" t="inlineStr">
        <is>
          <t>V024</t>
        </is>
      </c>
      <c r="B25" t="inlineStr">
        <is>
          <t>Paola Rivera</t>
        </is>
      </c>
      <c r="C25" t="inlineStr">
        <is>
          <t>Laptop</t>
        </is>
      </c>
      <c r="D25" t="n">
        <v>1235</v>
      </c>
      <c r="E25" t="n">
        <v>981</v>
      </c>
      <c r="F25" t="n">
        <v>254</v>
      </c>
      <c r="G25" t="n">
        <v>0.12</v>
      </c>
      <c r="H25" t="n">
        <v>12</v>
      </c>
      <c r="I25" t="n">
        <v>22.57</v>
      </c>
      <c r="J25" t="inlineStr">
        <is>
          <t>No rentable</t>
        </is>
      </c>
      <c r="K25" t="n">
        <v>16.84</v>
      </c>
    </row>
    <row r="26">
      <c r="A26" t="inlineStr">
        <is>
          <t>V025</t>
        </is>
      </c>
      <c r="B26" t="inlineStr">
        <is>
          <t>Paola Rivera</t>
        </is>
      </c>
      <c r="C26" t="inlineStr">
        <is>
          <t>Tablet</t>
        </is>
      </c>
      <c r="D26" t="n">
        <v>4014</v>
      </c>
      <c r="E26" t="n">
        <v>618</v>
      </c>
      <c r="F26" t="n">
        <v>3396</v>
      </c>
      <c r="G26" t="n">
        <v>0.13</v>
      </c>
      <c r="H26" t="n">
        <v>18</v>
      </c>
      <c r="I26" t="n">
        <v>208.68</v>
      </c>
      <c r="J26" t="inlineStr">
        <is>
          <t>No rentable</t>
        </is>
      </c>
      <c r="K26" t="n">
        <v>360.24</v>
      </c>
    </row>
    <row r="27">
      <c r="A27" t="inlineStr">
        <is>
          <t>V026</t>
        </is>
      </c>
      <c r="B27" t="inlineStr">
        <is>
          <t>Kevin Aguilar</t>
        </is>
      </c>
      <c r="C27" t="inlineStr">
        <is>
          <t>Switch</t>
        </is>
      </c>
      <c r="D27" t="n">
        <v>1983</v>
      </c>
      <c r="E27" t="n">
        <v>946</v>
      </c>
      <c r="F27" t="n">
        <v>1037</v>
      </c>
      <c r="G27" t="n">
        <v>0.09</v>
      </c>
      <c r="H27" t="n">
        <v>24</v>
      </c>
      <c r="I27" t="n">
        <v>47.38</v>
      </c>
      <c r="J27" t="inlineStr">
        <is>
          <t>No rentable</t>
        </is>
      </c>
      <c r="K27" t="n">
        <v>100.12</v>
      </c>
    </row>
    <row r="28">
      <c r="A28" t="inlineStr">
        <is>
          <t>V027</t>
        </is>
      </c>
      <c r="B28" t="inlineStr">
        <is>
          <t>José Ramírez</t>
        </is>
      </c>
      <c r="C28" t="inlineStr">
        <is>
          <t>Tablet</t>
        </is>
      </c>
      <c r="D28" t="n">
        <v>527</v>
      </c>
      <c r="E28" t="n">
        <v>146</v>
      </c>
      <c r="F28" t="n">
        <v>381</v>
      </c>
      <c r="G28" t="n">
        <v>0.17</v>
      </c>
      <c r="H28" t="n">
        <v>12</v>
      </c>
      <c r="I28" t="n">
        <v>34.75</v>
      </c>
      <c r="J28" t="inlineStr">
        <is>
          <t>No rentable</t>
        </is>
      </c>
      <c r="K28" t="n">
        <v>36</v>
      </c>
    </row>
    <row r="29">
      <c r="A29" t="inlineStr">
        <is>
          <t>V028</t>
        </is>
      </c>
      <c r="B29" t="inlineStr">
        <is>
          <t>Andrea Gómez</t>
        </is>
      </c>
      <c r="C29" t="inlineStr">
        <is>
          <t>Monitor</t>
        </is>
      </c>
      <c r="D29" t="n">
        <v>3177</v>
      </c>
      <c r="E29" t="n">
        <v>453</v>
      </c>
      <c r="F29" t="n">
        <v>2724</v>
      </c>
      <c r="G29" t="n">
        <v>0.16</v>
      </c>
      <c r="H29" t="n">
        <v>24</v>
      </c>
      <c r="I29" t="n">
        <v>133.38</v>
      </c>
      <c r="J29" t="inlineStr">
        <is>
          <t>No rentable</t>
        </is>
      </c>
      <c r="K29" t="n">
        <v>477.12</v>
      </c>
    </row>
    <row r="30">
      <c r="A30" t="inlineStr">
        <is>
          <t>V029</t>
        </is>
      </c>
      <c r="B30" t="inlineStr">
        <is>
          <t>Kevin Aguilar</t>
        </is>
      </c>
      <c r="C30" t="inlineStr">
        <is>
          <t>Scanner</t>
        </is>
      </c>
      <c r="D30" t="n">
        <v>956</v>
      </c>
      <c r="E30" t="n">
        <v>912</v>
      </c>
      <c r="F30" t="n">
        <v>44</v>
      </c>
      <c r="G30" t="n">
        <v>0.13</v>
      </c>
      <c r="H30" t="n">
        <v>18</v>
      </c>
      <c r="I30" t="n">
        <v>2.7</v>
      </c>
      <c r="J30" t="inlineStr">
        <is>
          <t>No rentable</t>
        </is>
      </c>
      <c r="K30" t="n">
        <v>4.6</v>
      </c>
    </row>
    <row r="31">
      <c r="A31" t="inlineStr">
        <is>
          <t>V030</t>
        </is>
      </c>
      <c r="B31" t="inlineStr">
        <is>
          <t>José Ramírez</t>
        </is>
      </c>
      <c r="C31" t="inlineStr">
        <is>
          <t>Monitor</t>
        </is>
      </c>
      <c r="D31" t="n">
        <v>4982</v>
      </c>
      <c r="E31" t="n">
        <v>185</v>
      </c>
      <c r="F31" t="n">
        <v>4797</v>
      </c>
      <c r="G31" t="n">
        <v>0.11</v>
      </c>
      <c r="H31" t="n">
        <v>24</v>
      </c>
      <c r="I31" t="n">
        <v>223.58</v>
      </c>
      <c r="J31" t="inlineStr">
        <is>
          <t>Rentable</t>
        </is>
      </c>
      <c r="K31" t="n">
        <v>568.92</v>
      </c>
    </row>
    <row r="32">
      <c r="A32" t="inlineStr">
        <is>
          <t>V031</t>
        </is>
      </c>
      <c r="B32" t="inlineStr">
        <is>
          <t>Fernanda Ruiz</t>
        </is>
      </c>
      <c r="C32" t="inlineStr">
        <is>
          <t>Tablet</t>
        </is>
      </c>
      <c r="D32" t="n">
        <v>586</v>
      </c>
      <c r="E32" t="n">
        <v>690</v>
      </c>
      <c r="F32" t="n">
        <v>-104</v>
      </c>
      <c r="G32" t="n">
        <v>0.12</v>
      </c>
      <c r="H32" t="n">
        <v>36</v>
      </c>
      <c r="I32" t="n">
        <v>-3.45</v>
      </c>
      <c r="J32" t="inlineStr">
        <is>
          <t>No rentable</t>
        </is>
      </c>
      <c r="K32" t="n">
        <v>-20.2</v>
      </c>
    </row>
    <row r="33">
      <c r="A33" t="inlineStr">
        <is>
          <t>V032</t>
        </is>
      </c>
      <c r="B33" t="inlineStr">
        <is>
          <t>Carlos Pérez</t>
        </is>
      </c>
      <c r="C33" t="inlineStr">
        <is>
          <t>Switch</t>
        </is>
      </c>
      <c r="D33" t="n">
        <v>509</v>
      </c>
      <c r="E33" t="n">
        <v>150</v>
      </c>
      <c r="F33" t="n">
        <v>359</v>
      </c>
      <c r="G33" t="n">
        <v>0.17</v>
      </c>
      <c r="H33" t="n">
        <v>18</v>
      </c>
      <c r="I33" t="n">
        <v>22.74</v>
      </c>
      <c r="J33" t="inlineStr">
        <is>
          <t>No rentable</t>
        </is>
      </c>
      <c r="K33" t="n">
        <v>50.32</v>
      </c>
    </row>
    <row r="34">
      <c r="A34" t="inlineStr">
        <is>
          <t>V033</t>
        </is>
      </c>
      <c r="B34" t="inlineStr">
        <is>
          <t>Miguel Flores</t>
        </is>
      </c>
      <c r="C34" t="inlineStr">
        <is>
          <t>Tablet</t>
        </is>
      </c>
      <c r="D34" t="n">
        <v>3267</v>
      </c>
      <c r="E34" t="n">
        <v>876</v>
      </c>
      <c r="F34" t="n">
        <v>2391</v>
      </c>
      <c r="G34" t="n">
        <v>0.1</v>
      </c>
      <c r="H34" t="n">
        <v>24</v>
      </c>
      <c r="I34" t="n">
        <v>110.33</v>
      </c>
      <c r="J34" t="inlineStr">
        <is>
          <t>No rentable</t>
        </is>
      </c>
      <c r="K34" t="n">
        <v>256.92</v>
      </c>
    </row>
    <row r="35">
      <c r="A35" t="inlineStr">
        <is>
          <t>V034</t>
        </is>
      </c>
      <c r="B35" t="inlineStr">
        <is>
          <t>Valeria Cruz</t>
        </is>
      </c>
      <c r="C35" t="inlineStr">
        <is>
          <t>Tablet</t>
        </is>
      </c>
      <c r="D35" t="n">
        <v>778</v>
      </c>
      <c r="E35" t="n">
        <v>173</v>
      </c>
      <c r="F35" t="n">
        <v>605</v>
      </c>
      <c r="G35" t="n">
        <v>0.14</v>
      </c>
      <c r="H35" t="n">
        <v>12</v>
      </c>
      <c r="I35" t="n">
        <v>54.32</v>
      </c>
      <c r="J35" t="inlineStr">
        <is>
          <t>No rentable</t>
        </is>
      </c>
      <c r="K35" t="n">
        <v>46.84</v>
      </c>
    </row>
    <row r="36">
      <c r="A36" t="inlineStr">
        <is>
          <t>V035</t>
        </is>
      </c>
      <c r="B36" t="inlineStr">
        <is>
          <t>Kevin Aguilar</t>
        </is>
      </c>
      <c r="C36" t="inlineStr">
        <is>
          <t>Tablet</t>
        </is>
      </c>
      <c r="D36" t="n">
        <v>3566</v>
      </c>
      <c r="E36" t="n">
        <v>852</v>
      </c>
      <c r="F36" t="n">
        <v>2714</v>
      </c>
      <c r="G36" t="n">
        <v>0.1</v>
      </c>
      <c r="H36" t="n">
        <v>12</v>
      </c>
      <c r="I36" t="n">
        <v>238.6</v>
      </c>
      <c r="J36" t="inlineStr">
        <is>
          <t>No rentable</t>
        </is>
      </c>
      <c r="K36" t="n">
        <v>149.2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46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Ventas</t>
        </is>
      </c>
      <c r="B2">
        <f>SUM(dataset!D2:D36)</f>
        <v/>
      </c>
    </row>
    <row r="3">
      <c r="A3" t="inlineStr">
        <is>
          <t>Promedio Cuotas</t>
        </is>
      </c>
      <c r="B3">
        <f>AVERAGE(dataset!I2:I36)</f>
        <v/>
      </c>
    </row>
    <row r="4">
      <c r="A4" t="inlineStr">
        <is>
          <t>Venta Máxima</t>
        </is>
      </c>
      <c r="B4">
        <f>MAX(dataset!D2:D36)</f>
        <v/>
      </c>
    </row>
    <row r="5">
      <c r="A5" t="inlineStr">
        <is>
          <t>Venta Mínima</t>
        </is>
      </c>
      <c r="B5">
        <f>MIN(dataset!D2:D36)</f>
        <v/>
      </c>
    </row>
    <row r="6">
      <c r="A6" t="inlineStr">
        <is>
          <t>Rentables</t>
        </is>
      </c>
      <c r="B6">
        <f>COUNTIF(dataset!J2:J36,"Rentable")</f>
        <v/>
      </c>
    </row>
    <row r="7">
      <c r="A7" t="inlineStr">
        <is>
          <t>No Rentables</t>
        </is>
      </c>
      <c r="B7">
        <f>COUNTIF(dataset!J2:J36,"No rentable")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41" customWidth="1" min="2" max="2"/>
  </cols>
  <sheetData>
    <row r="1">
      <c r="A1" s="1" t="inlineStr">
        <is>
          <t>Tipo_Equipo</t>
        </is>
      </c>
      <c r="B1" s="1" t="inlineStr">
        <is>
          <t>Cantidad_Vendida</t>
        </is>
      </c>
    </row>
    <row r="2">
      <c r="A2" t="inlineStr">
        <is>
          <t>Laptop</t>
        </is>
      </c>
      <c r="B2">
        <f>COUNTIF(dataset!C2:C36,"Laptop")</f>
        <v/>
      </c>
    </row>
    <row r="3">
      <c r="A3" t="inlineStr">
        <is>
          <t>PC Gamer</t>
        </is>
      </c>
      <c r="B3">
        <f>COUNTIF(dataset!C2:C36,"PC Gamer")</f>
        <v/>
      </c>
    </row>
    <row r="4">
      <c r="A4" t="inlineStr">
        <is>
          <t>Tablet</t>
        </is>
      </c>
      <c r="B4">
        <f>COUNTIF(dataset!C2:C36,"Tablet")</f>
        <v/>
      </c>
    </row>
    <row r="5">
      <c r="A5" t="inlineStr">
        <is>
          <t>Impresora</t>
        </is>
      </c>
      <c r="B5">
        <f>COUNTIF(dataset!C2:C36,"Impresora")</f>
        <v/>
      </c>
    </row>
    <row r="6">
      <c r="A6" t="inlineStr">
        <is>
          <t>Servidor</t>
        </is>
      </c>
      <c r="B6">
        <f>COUNTIF(dataset!C2:C36,"Servidor")</f>
        <v/>
      </c>
    </row>
    <row r="7">
      <c r="A7" t="inlineStr">
        <is>
          <t>Monitor</t>
        </is>
      </c>
      <c r="B7">
        <f>COUNTIF(dataset!C2:C36,"Monitor")</f>
        <v/>
      </c>
    </row>
    <row r="8">
      <c r="A8" t="inlineStr">
        <is>
          <t>Router</t>
        </is>
      </c>
      <c r="B8">
        <f>COUNTIF(dataset!C2:C36,"Router")</f>
        <v/>
      </c>
    </row>
    <row r="9">
      <c r="A9" t="inlineStr">
        <is>
          <t>Proyector</t>
        </is>
      </c>
      <c r="B9">
        <f>COUNTIF(dataset!C2:C36,"Proyector")</f>
        <v/>
      </c>
    </row>
    <row r="10">
      <c r="A10" t="inlineStr">
        <is>
          <t>Switch</t>
        </is>
      </c>
      <c r="B10">
        <f>COUNTIF(dataset!C2:C36,"Switch")</f>
        <v/>
      </c>
    </row>
    <row r="11">
      <c r="A11" t="inlineStr">
        <is>
          <t>Scanner</t>
        </is>
      </c>
      <c r="B11">
        <f>COUNTIF(dataset!C2:C36,"Scanner")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2026-05-26T02:39:37Z</dcterms:created>
  <dcterms:modified xmlns:dcterms="http://purl.org/dc/terms/" xmlns:xsi="http://www.w3.org/2001/XMLSchema-instance" xsi:type="dcterms:W3CDTF">2026-05-26T02:39:37Z</dcterms:modified>
</cp:coreProperties>
</file>